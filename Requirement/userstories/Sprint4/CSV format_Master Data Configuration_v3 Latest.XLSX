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495" yWindow="1620" windowWidth="19320" windowHeight="9855"/>
  </bookViews>
  <sheets>
    <sheet name="CSV Format-Input Data" sheetId="2" r:id="rId1"/>
    <sheet name="Master Data Configuration" sheetId="3" r:id="rId2"/>
  </sheets>
  <calcPr calcId="144525"/>
</workbook>
</file>

<file path=xl/calcChain.xml><?xml version="1.0" encoding="utf-8"?>
<calcChain xmlns="http://schemas.openxmlformats.org/spreadsheetml/2006/main">
  <c r="AU7" i="2" l="1"/>
  <c r="AU3" i="2" s="1"/>
  <c r="AV7" i="2"/>
  <c r="AV3" i="2" s="1"/>
  <c r="AW7" i="2"/>
  <c r="AW3" i="2" s="1"/>
  <c r="AX7" i="2"/>
  <c r="AX3" i="2" s="1"/>
  <c r="AY7" i="2"/>
  <c r="AY3" i="2" s="1"/>
  <c r="AZ7" i="2"/>
  <c r="AZ3" i="2" s="1"/>
  <c r="AT7" i="2"/>
  <c r="AT3" i="2" s="1"/>
  <c r="AZ12" i="2" l="1"/>
  <c r="AY12" i="2"/>
  <c r="AA6" i="2" l="1"/>
</calcChain>
</file>

<file path=xl/comments1.xml><?xml version="1.0" encoding="utf-8"?>
<comments xmlns="http://schemas.openxmlformats.org/spreadsheetml/2006/main">
  <authors>
    <author>Ajay Kumar16</author>
    <author>Shwetank Mishra</author>
  </authors>
  <commentList>
    <comment ref="S9" authorId="0">
      <text>
        <r>
          <rPr>
            <b/>
            <sz val="8"/>
            <color indexed="81"/>
            <rFont val="Tahoma"/>
            <charset val="1"/>
          </rPr>
          <t>Ajay Kumar16:</t>
        </r>
        <r>
          <rPr>
            <sz val="8"/>
            <color indexed="81"/>
            <rFont val="Tahoma"/>
            <charset val="1"/>
          </rPr>
          <t xml:space="preserve">
Mobile Web out of scope because both teams merged to deliver Google auto Sale in BigWeb</t>
        </r>
      </text>
    </comment>
    <comment ref="AZ31" authorId="1">
      <text>
        <r>
          <rPr>
            <b/>
            <sz val="9"/>
            <color indexed="81"/>
            <rFont val="Tahoma"/>
            <family val="2"/>
          </rPr>
          <t>Shwetank Mishra: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<sst xmlns="http://schemas.openxmlformats.org/spreadsheetml/2006/main" count="256" uniqueCount="130">
  <si>
    <t>Owner</t>
  </si>
  <si>
    <t>Team Size</t>
  </si>
  <si>
    <t>Pending Story Points</t>
  </si>
  <si>
    <t>Release Number</t>
  </si>
  <si>
    <t>Average Velocity</t>
  </si>
  <si>
    <t>Last pass will be static at 1 sprint across all teams</t>
  </si>
  <si>
    <t>Committed Story Points</t>
  </si>
  <si>
    <t>RIT Defects</t>
  </si>
  <si>
    <t>Preprod Defects</t>
  </si>
  <si>
    <t>Prod Defect Sev1</t>
  </si>
  <si>
    <t>Prod Defect Sev2</t>
  </si>
  <si>
    <t>Prod defect Sev3</t>
  </si>
  <si>
    <t>BU Master</t>
  </si>
  <si>
    <t>BU Name</t>
  </si>
  <si>
    <t>Program Master</t>
  </si>
  <si>
    <t>Assumptions</t>
  </si>
  <si>
    <t>Each team is working on only one release items per sprint</t>
  </si>
  <si>
    <t>Release Calendar</t>
  </si>
  <si>
    <t>Release#</t>
  </si>
  <si>
    <t>Sprint Calendar</t>
  </si>
  <si>
    <t>Sprint #</t>
  </si>
  <si>
    <t>Start Date</t>
  </si>
  <si>
    <t>End Date</t>
  </si>
  <si>
    <t>Team Id</t>
  </si>
  <si>
    <t>Team Name</t>
  </si>
  <si>
    <t>Jira ID available for the scrum team</t>
  </si>
  <si>
    <t>Fields-&gt;</t>
  </si>
  <si>
    <t>Description-&gt;</t>
  </si>
  <si>
    <t>Sample Numbers-&gt;</t>
  </si>
  <si>
    <t>Sum of story points in Jira for the identified release# (in Column C) where the user story is not in Done status</t>
  </si>
  <si>
    <t>Sum of velocity for the team for last 6 sprints/6</t>
  </si>
  <si>
    <t>List of RIT Defects raised in last 30 days(sysdate-30) for the track</t>
  </si>
  <si>
    <t>List of Pre-Prod Defects raised in last 30 days(sysdate-30) for the track</t>
  </si>
  <si>
    <t>Sum of story points in Jira for all user stories identified for the release# for that track (in Column C)</t>
  </si>
  <si>
    <t>Track</t>
  </si>
  <si>
    <t>Planned Capacity in Story Points</t>
  </si>
  <si>
    <t>Track-Wise Commitment Master</t>
  </si>
  <si>
    <t>Fields</t>
  </si>
  <si>
    <t>Type</t>
  </si>
  <si>
    <t>Dropdown</t>
  </si>
  <si>
    <t>Textbox</t>
  </si>
  <si>
    <t>Datatype</t>
  </si>
  <si>
    <t>Numeric</t>
  </si>
  <si>
    <t>Varchar</t>
  </si>
  <si>
    <t>Last Available Development Sprint#</t>
  </si>
  <si>
    <t>Date</t>
  </si>
  <si>
    <t>Marvels</t>
  </si>
  <si>
    <t>Panthers</t>
  </si>
  <si>
    <t>Phoenix</t>
  </si>
  <si>
    <t>Dynamos</t>
  </si>
  <si>
    <t>Enhancers</t>
  </si>
  <si>
    <t>Olympians</t>
  </si>
  <si>
    <t>Himalayans/Topaz</t>
  </si>
  <si>
    <t>List of Sev1(Jira Issue Prioirty: 'Highest') Prod Defects raised in last 30 days(sysdate-30) for the track</t>
  </si>
  <si>
    <t>List of Sev2(Jira Issue Prioirty: 'High') Prod Defects raised in last 30 days(sysdate-30) for the track</t>
  </si>
  <si>
    <t>List of Sev3(Jira Issue Prioirty: 'Medium', 'Low') Prod Defects raised in last 30 days(sysdate-30) for the track</t>
  </si>
  <si>
    <t xml:space="preserve">Upcoming Release for the track
Earliest Release# for the track(where code freeze date has not passed) needs to be considered while extraction </t>
  </si>
  <si>
    <t>SLA</t>
  </si>
  <si>
    <t>Schedule Adherence</t>
  </si>
  <si>
    <t>Defect Density-Non-Prod</t>
  </si>
  <si>
    <t>Sev1 Defect Leakage - Non Prod</t>
  </si>
  <si>
    <t>Defect Density-Prod</t>
  </si>
  <si>
    <t>Sev1 Defect Leakage - Prod</t>
  </si>
  <si>
    <t>Sev2 Defect Leakage - Prod</t>
  </si>
  <si>
    <t>Defect Rejection Rate</t>
  </si>
  <si>
    <t># of Scenarios (Total)</t>
  </si>
  <si>
    <t># of 'Catastrophic' Defects</t>
  </si>
  <si>
    <t xml:space="preserve">Dev-Code Review: </t>
  </si>
  <si>
    <t># of 'Major without Workaround' Defects</t>
  </si>
  <si>
    <t xml:space="preserve"> # of 'Major with Workaround' Defects</t>
  </si>
  <si>
    <t># of 'Minor' Defects</t>
  </si>
  <si>
    <t xml:space="preserve">QA-Code Review: </t>
  </si>
  <si>
    <t>MI</t>
  </si>
  <si>
    <t>CC</t>
  </si>
  <si>
    <t xml:space="preserve">Average Lead Time </t>
  </si>
  <si>
    <t># of BDD Scenarios  Tested</t>
  </si>
  <si>
    <t>Total # of BDD Scenarios captured in the 3 Amigo Entry Deliverable for the sprint</t>
  </si>
  <si>
    <t>Total # of BDD Scenarios Tested for the sprint</t>
  </si>
  <si>
    <t># of Manual Scenarios Tested</t>
  </si>
  <si>
    <t>Total # of Manual   Scenarios Tested for the sprint</t>
  </si>
  <si>
    <t># of code review defects captured in WPR for the sprint that are marked with Severity ' Catastrophic'</t>
  </si>
  <si>
    <t># of code review defects captured in WPR for the sprint that are marked with Severity ' Major without Workaround'</t>
  </si>
  <si>
    <t># of code review defects captured in WPR for the sprint that are marked with Severity ' Major with Workaround'</t>
  </si>
  <si>
    <t># of code review defects captured in WPR for the sprint that are marked with Severity ' Minor'</t>
  </si>
  <si>
    <t>Maintainability Index derived at the end of the sprint</t>
  </si>
  <si>
    <t>SLA attribute for the past month</t>
  </si>
  <si>
    <t>Average of all user story lead times in the sprint for the track. 
User Story Lead time is the Time elapsed for a user story in Inprogress status until it moves to Done status</t>
  </si>
  <si>
    <t>Availability of Resource with Required Skillset</t>
  </si>
  <si>
    <t>Would be 'Yes', 'No' or 'Partial'</t>
  </si>
  <si>
    <t>Justification (Required if Skillset requirement is marked as'Partial' or 'No')</t>
  </si>
  <si>
    <t>Action Plan (Required if Skillset requirement is marked as'Partial' or 'No')</t>
  </si>
  <si>
    <t>Free Text</t>
  </si>
  <si>
    <t>Production Release Date</t>
  </si>
  <si>
    <t>Attrition/Resource Releases</t>
  </si>
  <si>
    <t># of Attrition/Release cases where resource release date/lwd falls in the upcoming 30 days</t>
  </si>
  <si>
    <t>Schedule</t>
  </si>
  <si>
    <t>Avg Velocity of Track</t>
  </si>
  <si>
    <t>Required Number of Sprints</t>
  </si>
  <si>
    <t>Available Number of Sprints</t>
  </si>
  <si>
    <t>Scope</t>
  </si>
  <si>
    <t># of Story Points Committed for Release thus far</t>
  </si>
  <si>
    <t>Planned Capacity for the Release</t>
  </si>
  <si>
    <t>Quality</t>
  </si>
  <si>
    <t>Requirement Test Coverage</t>
  </si>
  <si>
    <t>Average Lead Time/Track (in days)</t>
  </si>
  <si>
    <t>Defect Leakage QA</t>
  </si>
  <si>
    <t>Production Defect</t>
  </si>
  <si>
    <t>Engineering Practices</t>
  </si>
  <si>
    <t>TDD Coverage</t>
  </si>
  <si>
    <t>BDD Coverage</t>
  </si>
  <si>
    <t>MVP Adoption</t>
  </si>
  <si>
    <t>Code Review-Dev</t>
  </si>
  <si>
    <t>Code Review-QA</t>
  </si>
  <si>
    <t>Maintainability Index</t>
  </si>
  <si>
    <t>Cyclomatic Complexity</t>
  </si>
  <si>
    <t>Resource</t>
  </si>
  <si>
    <t>Color Coding</t>
  </si>
  <si>
    <t>Value with Color Coding</t>
  </si>
  <si>
    <t xml:space="preserve"> </t>
  </si>
  <si>
    <t># of Releases in last 6 months</t>
  </si>
  <si>
    <t># of Scenarios Passed</t>
  </si>
  <si>
    <t># of releases within sysdate-180 days</t>
  </si>
  <si>
    <t>Y</t>
  </si>
  <si>
    <t>y</t>
  </si>
  <si>
    <t>Partial</t>
  </si>
  <si>
    <t xml:space="preserve">Both the resource were aware of various technology required for EAC </t>
  </si>
  <si>
    <t>Recuritment is in progress</t>
  </si>
  <si>
    <t>Yes</t>
  </si>
  <si>
    <r>
      <rPr>
        <strike/>
        <sz val="11"/>
        <color rgb="FFFF0000"/>
        <rFont val="Calibri"/>
        <family val="2"/>
        <scheme val="minor"/>
      </rPr>
      <t xml:space="preserve">Code  </t>
    </r>
    <r>
      <rPr>
        <sz val="11"/>
        <color theme="1"/>
        <rFont val="Calibri"/>
        <family val="2"/>
        <scheme val="minor"/>
      </rPr>
      <t>Cyclometic Complexity derived at the end of the sprint</t>
    </r>
  </si>
  <si>
    <t>1 (17.7)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</si>
</sst>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trike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Border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/>
    <xf numFmtId="0" fontId="0" fillId="6" borderId="0" xfId="0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5" fillId="7" borderId="0" xfId="0" applyFont="1" applyFill="1" applyAlignment="1">
      <alignment horizontal="center"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7" borderId="0" xfId="0" applyFill="1" applyAlignment="1">
      <alignment horizontal="left" wrapText="1"/>
    </xf>
    <xf numFmtId="0" fontId="1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7" borderId="1" xfId="0" applyFont="1" applyFill="1" applyBorder="1"/>
    <xf numFmtId="0" fontId="1" fillId="0" borderId="1" xfId="0" applyFont="1" applyBorder="1"/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9" fontId="0" fillId="8" borderId="1" xfId="0" applyNumberFormat="1" applyFill="1" applyBorder="1" applyAlignment="1">
      <alignment horizontal="center" wrapText="1"/>
    </xf>
    <xf numFmtId="9" fontId="0" fillId="5" borderId="1" xfId="0" applyNumberFormat="1" applyFill="1" applyBorder="1" applyAlignment="1">
      <alignment horizontal="center" wrapText="1"/>
    </xf>
    <xf numFmtId="9" fontId="0" fillId="6" borderId="1" xfId="0" applyNumberForma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44"/>
  <sheetViews>
    <sheetView tabSelected="1" zoomScale="70" zoomScaleNormal="70" workbookViewId="0">
      <pane xSplit="1" ySplit="8" topLeftCell="AN9" activePane="bottomRight" state="frozen"/>
      <selection pane="topRight" activeCell="B1" sqref="B1"/>
      <selection pane="bottomLeft" activeCell="A9" sqref="A9"/>
      <selection pane="bottomRight" activeCell="AX24" sqref="AX24"/>
    </sheetView>
  </sheetViews>
  <sheetFormatPr defaultRowHeight="15" x14ac:dyDescent="0.25"/>
  <cols>
    <col min="1" max="1" width="23.5703125" style="13" customWidth="1"/>
    <col min="2" max="2" width="14.28515625" style="1" bestFit="1" customWidth="1"/>
    <col min="3" max="3" width="28.5703125" style="1" customWidth="1"/>
    <col min="4" max="4" width="29" style="1" customWidth="1"/>
    <col min="5" max="5" width="29.5703125" style="1" customWidth="1"/>
    <col min="6" max="6" width="23" style="1" bestFit="1" customWidth="1"/>
    <col min="7" max="7" width="21" style="1" bestFit="1" customWidth="1"/>
    <col min="8" max="8" width="29.140625" style="1" bestFit="1" customWidth="1"/>
    <col min="9" max="9" width="22.5703125" style="1" bestFit="1" customWidth="1"/>
    <col min="10" max="10" width="22" style="1" bestFit="1" customWidth="1"/>
    <col min="11" max="11" width="21.7109375" style="1" bestFit="1" customWidth="1"/>
    <col min="12" max="12" width="19.5703125" style="1" bestFit="1" customWidth="1"/>
    <col min="13" max="13" width="31.5703125" style="1" bestFit="1" customWidth="1"/>
    <col min="14" max="14" width="32.85546875" style="1" bestFit="1" customWidth="1"/>
    <col min="15" max="15" width="24.85546875" style="1" bestFit="1" customWidth="1"/>
    <col min="16" max="17" width="31.5703125" style="1" bestFit="1" customWidth="1"/>
    <col min="18" max="18" width="24.85546875" style="1" bestFit="1" customWidth="1"/>
    <col min="19" max="19" width="16.42578125" style="1" customWidth="1"/>
    <col min="20" max="20" width="17.140625" style="1" customWidth="1"/>
    <col min="21" max="21" width="15.7109375" style="1" bestFit="1" customWidth="1"/>
    <col min="22" max="22" width="15.7109375" style="1" customWidth="1"/>
    <col min="23" max="23" width="18" style="1" customWidth="1"/>
    <col min="24" max="25" width="21" style="1" customWidth="1"/>
    <col min="26" max="26" width="17" style="1" customWidth="1"/>
    <col min="27" max="27" width="18.28515625" style="1" customWidth="1"/>
    <col min="28" max="28" width="20.28515625" style="1" customWidth="1"/>
    <col min="29" max="29" width="19.85546875" style="1" customWidth="1"/>
    <col min="30" max="30" width="18.42578125" style="1" customWidth="1"/>
    <col min="31" max="32" width="14.28515625" style="1" customWidth="1"/>
    <col min="33" max="33" width="29.28515625" style="1" customWidth="1"/>
    <col min="34" max="34" width="19.7109375" style="1" customWidth="1"/>
    <col min="35" max="35" width="24" style="1" customWidth="1"/>
    <col min="36" max="36" width="23.85546875" style="1" customWidth="1"/>
    <col min="37" max="41" width="27.7109375" style="1" customWidth="1"/>
    <col min="42" max="43" width="9.140625" style="1"/>
    <col min="44" max="44" width="44.42578125" bestFit="1" customWidth="1"/>
    <col min="45" max="45" width="22.7109375" bestFit="1" customWidth="1"/>
    <col min="46" max="46" width="12.5703125" style="1" bestFit="1" customWidth="1"/>
    <col min="47" max="47" width="8.85546875" style="1" bestFit="1" customWidth="1"/>
    <col min="48" max="48" width="8.28515625" style="1" bestFit="1" customWidth="1"/>
    <col min="49" max="16384" width="9.140625" style="1"/>
  </cols>
  <sheetData>
    <row r="1" spans="1:52" x14ac:dyDescent="0.25">
      <c r="B1" s="1" t="s">
        <v>122</v>
      </c>
      <c r="C1" s="1" t="s">
        <v>123</v>
      </c>
      <c r="D1" s="1" t="s">
        <v>123</v>
      </c>
      <c r="F1" s="1" t="s">
        <v>123</v>
      </c>
      <c r="G1" s="1" t="s">
        <v>123</v>
      </c>
      <c r="H1" s="1" t="s">
        <v>123</v>
      </c>
      <c r="I1" s="1" t="s">
        <v>123</v>
      </c>
      <c r="J1" s="1" t="s">
        <v>123</v>
      </c>
      <c r="K1" s="1" t="s">
        <v>123</v>
      </c>
      <c r="AG1" s="1" t="s">
        <v>123</v>
      </c>
      <c r="AL1" s="1" t="s">
        <v>123</v>
      </c>
    </row>
    <row r="2" spans="1:52" s="3" customFormat="1" x14ac:dyDescent="0.25">
      <c r="A2" s="11" t="s">
        <v>26</v>
      </c>
      <c r="B2" s="3" t="s">
        <v>23</v>
      </c>
      <c r="C2" s="3" t="s">
        <v>3</v>
      </c>
      <c r="D2" s="3" t="s">
        <v>2</v>
      </c>
      <c r="E2" s="3" t="s">
        <v>6</v>
      </c>
      <c r="F2" s="3" t="s">
        <v>4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56" t="s">
        <v>57</v>
      </c>
      <c r="M2" s="56"/>
      <c r="N2" s="56"/>
      <c r="O2" s="56"/>
      <c r="P2" s="56"/>
      <c r="Q2" s="56"/>
      <c r="R2" s="56"/>
      <c r="W2" s="57" t="s">
        <v>67</v>
      </c>
      <c r="X2" s="57"/>
      <c r="Y2" s="57"/>
      <c r="Z2" s="57"/>
      <c r="AA2" s="57" t="s">
        <v>71</v>
      </c>
      <c r="AB2" s="57"/>
      <c r="AC2" s="57"/>
      <c r="AD2" s="57"/>
      <c r="AR2"/>
      <c r="AS2" t="s">
        <v>116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2" t="s">
        <v>51</v>
      </c>
      <c r="AZ2" s="12" t="s">
        <v>52</v>
      </c>
    </row>
    <row r="3" spans="1:52" s="3" customFormat="1" ht="45" x14ac:dyDescent="0.25">
      <c r="A3" s="11"/>
      <c r="L3" s="4" t="s">
        <v>58</v>
      </c>
      <c r="M3" s="4" t="s">
        <v>59</v>
      </c>
      <c r="N3" s="4" t="s">
        <v>60</v>
      </c>
      <c r="O3" s="4" t="s">
        <v>61</v>
      </c>
      <c r="P3" s="4" t="s">
        <v>62</v>
      </c>
      <c r="Q3" s="4" t="s">
        <v>63</v>
      </c>
      <c r="R3" s="4" t="s">
        <v>64</v>
      </c>
      <c r="S3" s="1" t="s">
        <v>65</v>
      </c>
      <c r="T3" s="1" t="s">
        <v>75</v>
      </c>
      <c r="U3" s="1" t="s">
        <v>78</v>
      </c>
      <c r="V3" s="1" t="s">
        <v>120</v>
      </c>
      <c r="W3" s="1" t="s">
        <v>66</v>
      </c>
      <c r="X3" s="1" t="s">
        <v>68</v>
      </c>
      <c r="Y3" s="1" t="s">
        <v>69</v>
      </c>
      <c r="Z3" s="1" t="s">
        <v>70</v>
      </c>
      <c r="AA3" s="1" t="s">
        <v>66</v>
      </c>
      <c r="AB3" s="1" t="s">
        <v>68</v>
      </c>
      <c r="AC3" s="1" t="s">
        <v>69</v>
      </c>
      <c r="AD3" s="1" t="s">
        <v>70</v>
      </c>
      <c r="AE3" s="1" t="s">
        <v>72</v>
      </c>
      <c r="AF3" s="1" t="s">
        <v>73</v>
      </c>
      <c r="AG3" s="1" t="s">
        <v>74</v>
      </c>
      <c r="AH3" s="6" t="s">
        <v>93</v>
      </c>
      <c r="AI3" s="6" t="s">
        <v>87</v>
      </c>
      <c r="AJ3" s="7" t="s">
        <v>89</v>
      </c>
      <c r="AK3" s="7" t="s">
        <v>90</v>
      </c>
      <c r="AL3" s="7" t="s">
        <v>119</v>
      </c>
      <c r="AM3" t="s">
        <v>108</v>
      </c>
      <c r="AN3" s="7"/>
      <c r="AO3" s="7"/>
      <c r="AR3" s="49" t="s">
        <v>95</v>
      </c>
      <c r="AS3" s="50"/>
      <c r="AT3" s="51">
        <f>AT8-AT7</f>
        <v>0.73684210526315796</v>
      </c>
      <c r="AU3" s="51">
        <f t="shared" ref="AU3:AZ3" si="0">AU8-AU7</f>
        <v>2.25</v>
      </c>
      <c r="AV3" s="51">
        <f t="shared" si="0"/>
        <v>0.26190476190476186</v>
      </c>
      <c r="AW3" s="52">
        <f t="shared" si="0"/>
        <v>-13.65625</v>
      </c>
      <c r="AX3" s="52">
        <f t="shared" si="0"/>
        <v>-2.0606060606060606</v>
      </c>
      <c r="AY3" s="51">
        <f t="shared" si="0"/>
        <v>2.9285714285714288</v>
      </c>
      <c r="AZ3" s="52">
        <f t="shared" si="0"/>
        <v>-1.1000000000000001</v>
      </c>
    </row>
    <row r="4" spans="1:52" ht="105" x14ac:dyDescent="0.25">
      <c r="A4" s="11" t="s">
        <v>27</v>
      </c>
      <c r="B4" s="1" t="s">
        <v>25</v>
      </c>
      <c r="C4" s="1" t="s">
        <v>56</v>
      </c>
      <c r="D4" s="1" t="s">
        <v>29</v>
      </c>
      <c r="E4" s="1" t="s">
        <v>33</v>
      </c>
      <c r="F4" s="1" t="s">
        <v>30</v>
      </c>
      <c r="G4" s="1" t="s">
        <v>31</v>
      </c>
      <c r="H4" s="1" t="s">
        <v>32</v>
      </c>
      <c r="I4" s="1" t="s">
        <v>53</v>
      </c>
      <c r="J4" s="1" t="s">
        <v>54</v>
      </c>
      <c r="K4" s="1" t="s">
        <v>55</v>
      </c>
      <c r="L4" s="1" t="s">
        <v>85</v>
      </c>
      <c r="M4" s="1" t="s">
        <v>85</v>
      </c>
      <c r="N4" s="1" t="s">
        <v>85</v>
      </c>
      <c r="O4" s="1" t="s">
        <v>85</v>
      </c>
      <c r="P4" s="1" t="s">
        <v>85</v>
      </c>
      <c r="Q4" s="1" t="s">
        <v>85</v>
      </c>
      <c r="R4" s="1" t="s">
        <v>85</v>
      </c>
      <c r="S4" s="1" t="s">
        <v>76</v>
      </c>
      <c r="T4" s="1" t="s">
        <v>77</v>
      </c>
      <c r="U4" s="1" t="s">
        <v>79</v>
      </c>
      <c r="V4" s="1" t="s">
        <v>79</v>
      </c>
      <c r="W4" s="1" t="s">
        <v>80</v>
      </c>
      <c r="X4" s="1" t="s">
        <v>81</v>
      </c>
      <c r="Y4" s="1" t="s">
        <v>82</v>
      </c>
      <c r="Z4" s="1" t="s">
        <v>83</v>
      </c>
      <c r="AA4" s="1" t="s">
        <v>80</v>
      </c>
      <c r="AB4" s="1" t="s">
        <v>81</v>
      </c>
      <c r="AC4" s="1" t="s">
        <v>82</v>
      </c>
      <c r="AD4" s="1" t="s">
        <v>83</v>
      </c>
      <c r="AE4" s="1" t="s">
        <v>84</v>
      </c>
      <c r="AF4" s="1" t="s">
        <v>128</v>
      </c>
      <c r="AG4" s="1" t="s">
        <v>86</v>
      </c>
      <c r="AH4" s="1" t="s">
        <v>94</v>
      </c>
      <c r="AI4" s="6" t="s">
        <v>88</v>
      </c>
      <c r="AJ4" s="1" t="s">
        <v>91</v>
      </c>
      <c r="AK4" s="1" t="s">
        <v>91</v>
      </c>
      <c r="AL4" s="1" t="s">
        <v>121</v>
      </c>
      <c r="AR4" s="53" t="s">
        <v>3</v>
      </c>
      <c r="AS4" s="54" t="s">
        <v>117</v>
      </c>
      <c r="AT4" s="41">
        <v>17.149999999999999</v>
      </c>
      <c r="AU4" s="41">
        <v>17.16</v>
      </c>
      <c r="AV4" s="41">
        <v>17.14</v>
      </c>
      <c r="AW4" s="41">
        <v>17.149999999999999</v>
      </c>
      <c r="AX4" s="41">
        <v>17.170000000000002</v>
      </c>
      <c r="AY4" s="43">
        <v>17.16</v>
      </c>
      <c r="AZ4" s="41">
        <v>17.12</v>
      </c>
    </row>
    <row r="5" spans="1:52" x14ac:dyDescent="0.25">
      <c r="A5" s="11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R5" s="53" t="s">
        <v>2</v>
      </c>
      <c r="AS5" s="54" t="s">
        <v>117</v>
      </c>
      <c r="AT5" s="43">
        <v>129</v>
      </c>
      <c r="AU5" s="43">
        <v>28</v>
      </c>
      <c r="AV5" s="43">
        <v>73</v>
      </c>
      <c r="AW5" s="43">
        <v>533</v>
      </c>
      <c r="AX5" s="43">
        <v>200</v>
      </c>
      <c r="AY5" s="43">
        <v>30</v>
      </c>
      <c r="AZ5" s="43">
        <v>44</v>
      </c>
    </row>
    <row r="6" spans="1:52" s="9" customFormat="1" x14ac:dyDescent="0.25">
      <c r="A6" s="12" t="s">
        <v>46</v>
      </c>
      <c r="C6" s="10">
        <v>17.149999999999999</v>
      </c>
      <c r="D6" s="9">
        <v>129</v>
      </c>
      <c r="E6" s="17">
        <v>550</v>
      </c>
      <c r="F6" s="9">
        <v>57</v>
      </c>
      <c r="G6" s="9">
        <v>1</v>
      </c>
      <c r="H6" s="9">
        <v>0</v>
      </c>
      <c r="I6" s="9">
        <v>0</v>
      </c>
      <c r="J6" s="9">
        <v>0</v>
      </c>
      <c r="K6" s="9">
        <v>0</v>
      </c>
      <c r="L6" s="9">
        <v>96</v>
      </c>
      <c r="M6" s="9">
        <v>2.3E-2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8">
        <v>4</v>
      </c>
      <c r="T6" s="17">
        <v>4</v>
      </c>
      <c r="U6" s="17">
        <v>10</v>
      </c>
      <c r="V6" s="17">
        <v>10</v>
      </c>
      <c r="W6" s="9">
        <v>0</v>
      </c>
      <c r="X6" s="9">
        <v>0</v>
      </c>
      <c r="Y6" s="9">
        <v>0</v>
      </c>
      <c r="Z6" s="9">
        <v>0</v>
      </c>
      <c r="AA6" s="9">
        <f>-AA51</f>
        <v>0</v>
      </c>
      <c r="AB6" s="9">
        <v>0</v>
      </c>
      <c r="AC6" s="9">
        <v>0</v>
      </c>
      <c r="AD6" s="9">
        <v>4</v>
      </c>
      <c r="AE6" s="9">
        <v>93</v>
      </c>
      <c r="AF6" s="9">
        <v>6</v>
      </c>
      <c r="AG6" s="9">
        <v>5</v>
      </c>
      <c r="AH6" s="9">
        <v>0</v>
      </c>
      <c r="AI6" s="15"/>
      <c r="AJ6" s="15"/>
      <c r="AK6" s="15"/>
      <c r="AL6" s="15"/>
      <c r="AM6" s="15"/>
      <c r="AR6" s="54" t="s">
        <v>96</v>
      </c>
      <c r="AS6" s="54" t="s">
        <v>117</v>
      </c>
      <c r="AT6" s="43">
        <v>57</v>
      </c>
      <c r="AU6" s="43">
        <v>16</v>
      </c>
      <c r="AV6" s="43">
        <v>42</v>
      </c>
      <c r="AW6" s="43">
        <v>32</v>
      </c>
      <c r="AX6" s="43">
        <v>33</v>
      </c>
      <c r="AY6" s="43">
        <v>28</v>
      </c>
      <c r="AZ6" s="43">
        <v>40</v>
      </c>
    </row>
    <row r="7" spans="1:52" s="9" customFormat="1" x14ac:dyDescent="0.25">
      <c r="A7" s="12" t="s">
        <v>47</v>
      </c>
      <c r="C7" s="10">
        <v>17.16</v>
      </c>
      <c r="D7" s="9">
        <v>28</v>
      </c>
      <c r="E7" s="17">
        <v>65</v>
      </c>
      <c r="F7" s="9">
        <v>16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96</v>
      </c>
      <c r="M7" s="9">
        <v>2.3E-2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17">
        <v>3</v>
      </c>
      <c r="T7" s="17">
        <v>3</v>
      </c>
      <c r="U7" s="17">
        <v>0</v>
      </c>
      <c r="V7" s="17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2</v>
      </c>
      <c r="AE7" s="9">
        <v>0</v>
      </c>
      <c r="AF7" s="9">
        <v>0</v>
      </c>
      <c r="AH7" s="9">
        <v>0</v>
      </c>
      <c r="AI7" s="15"/>
      <c r="AJ7" s="15"/>
      <c r="AK7" s="15"/>
      <c r="AL7" s="15"/>
      <c r="AM7" s="15"/>
      <c r="AR7" s="54" t="s">
        <v>97</v>
      </c>
      <c r="AS7" s="54" t="s">
        <v>117</v>
      </c>
      <c r="AT7" s="55">
        <f>AT5/AT6</f>
        <v>2.263157894736842</v>
      </c>
      <c r="AU7" s="55">
        <f t="shared" ref="AU7:AZ7" si="1">AU5/AU6</f>
        <v>1.75</v>
      </c>
      <c r="AV7" s="55">
        <f t="shared" si="1"/>
        <v>1.7380952380952381</v>
      </c>
      <c r="AW7" s="55">
        <f t="shared" si="1"/>
        <v>16.65625</v>
      </c>
      <c r="AX7" s="55">
        <f t="shared" si="1"/>
        <v>6.0606060606060606</v>
      </c>
      <c r="AY7" s="55">
        <f t="shared" si="1"/>
        <v>1.0714285714285714</v>
      </c>
      <c r="AZ7" s="55">
        <f t="shared" si="1"/>
        <v>1.1000000000000001</v>
      </c>
    </row>
    <row r="8" spans="1:52" ht="60" x14ac:dyDescent="0.25">
      <c r="A8" s="12" t="s">
        <v>48</v>
      </c>
      <c r="B8" s="9">
        <v>13916</v>
      </c>
      <c r="C8" s="10">
        <v>17.14</v>
      </c>
      <c r="D8" s="9">
        <v>73</v>
      </c>
      <c r="E8" s="16">
        <v>127</v>
      </c>
      <c r="F8" s="9">
        <v>42</v>
      </c>
      <c r="G8" s="16">
        <v>1</v>
      </c>
      <c r="H8" s="16">
        <v>3</v>
      </c>
      <c r="I8" s="16">
        <v>0</v>
      </c>
      <c r="J8" s="16">
        <v>0</v>
      </c>
      <c r="K8" s="16">
        <v>1</v>
      </c>
      <c r="L8" s="9">
        <v>96</v>
      </c>
      <c r="M8" s="9">
        <v>2.3E-2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6">
        <v>8</v>
      </c>
      <c r="T8" s="16">
        <v>6</v>
      </c>
      <c r="U8" s="16">
        <v>153</v>
      </c>
      <c r="V8" s="16">
        <v>150</v>
      </c>
      <c r="W8" s="9">
        <v>0</v>
      </c>
      <c r="X8" s="9">
        <v>0</v>
      </c>
      <c r="Y8" s="9">
        <v>0</v>
      </c>
      <c r="Z8" s="16">
        <v>13</v>
      </c>
      <c r="AA8" s="9">
        <v>0</v>
      </c>
      <c r="AB8" s="9">
        <v>0</v>
      </c>
      <c r="AC8" s="9">
        <v>0</v>
      </c>
      <c r="AD8" s="9">
        <v>0</v>
      </c>
      <c r="AE8" s="16">
        <v>72</v>
      </c>
      <c r="AF8" s="16">
        <v>4</v>
      </c>
      <c r="AG8" s="9">
        <v>5</v>
      </c>
      <c r="AH8" s="16">
        <v>2</v>
      </c>
      <c r="AI8" s="16" t="s">
        <v>124</v>
      </c>
      <c r="AJ8" s="16" t="s">
        <v>125</v>
      </c>
      <c r="AK8" s="16" t="s">
        <v>126</v>
      </c>
      <c r="AL8" s="16">
        <v>6</v>
      </c>
      <c r="AM8" s="16">
        <v>48.2</v>
      </c>
      <c r="AN8" s="9"/>
      <c r="AO8" s="9"/>
      <c r="AR8" s="54" t="s">
        <v>98</v>
      </c>
      <c r="AS8" s="54" t="s">
        <v>117</v>
      </c>
      <c r="AT8" s="43">
        <v>3</v>
      </c>
      <c r="AU8" s="43">
        <v>4</v>
      </c>
      <c r="AV8" s="43">
        <v>2</v>
      </c>
      <c r="AW8" s="43">
        <v>3</v>
      </c>
      <c r="AX8" s="43">
        <v>4</v>
      </c>
      <c r="AY8" s="43">
        <v>4</v>
      </c>
      <c r="AZ8" s="43">
        <v>0</v>
      </c>
    </row>
    <row r="9" spans="1:52" x14ac:dyDescent="0.25">
      <c r="A9" s="12" t="s">
        <v>49</v>
      </c>
      <c r="B9" s="9">
        <v>13910</v>
      </c>
      <c r="C9" s="10">
        <v>17.149999999999999</v>
      </c>
      <c r="D9" s="9">
        <v>533</v>
      </c>
      <c r="E9" s="16">
        <v>583</v>
      </c>
      <c r="F9" s="9">
        <v>32</v>
      </c>
      <c r="G9" s="16">
        <v>2</v>
      </c>
      <c r="H9" s="16">
        <v>1</v>
      </c>
      <c r="I9" s="16">
        <v>0</v>
      </c>
      <c r="J9" s="16">
        <v>0</v>
      </c>
      <c r="K9" s="16">
        <v>1</v>
      </c>
      <c r="L9" s="9">
        <v>96</v>
      </c>
      <c r="M9" s="9">
        <v>2.3E-2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16">
        <v>0</v>
      </c>
      <c r="T9" s="16">
        <v>0</v>
      </c>
      <c r="U9" s="16">
        <v>0</v>
      </c>
      <c r="V9" s="16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4</v>
      </c>
      <c r="AH9" s="9">
        <v>0</v>
      </c>
      <c r="AI9" s="16" t="s">
        <v>127</v>
      </c>
      <c r="AJ9" s="16"/>
      <c r="AK9" s="16"/>
      <c r="AL9" s="16">
        <v>5</v>
      </c>
      <c r="AM9" s="16">
        <v>48.2</v>
      </c>
      <c r="AN9" s="9"/>
      <c r="AO9" s="9"/>
    </row>
    <row r="10" spans="1:52" x14ac:dyDescent="0.25">
      <c r="A10" s="12" t="s">
        <v>50</v>
      </c>
      <c r="B10" s="9"/>
      <c r="C10" s="8">
        <v>17.170000000000002</v>
      </c>
      <c r="D10" s="9">
        <v>200</v>
      </c>
      <c r="E10" s="9">
        <v>218</v>
      </c>
      <c r="F10" s="9">
        <v>33</v>
      </c>
      <c r="G10" s="9">
        <v>1</v>
      </c>
      <c r="H10" s="9">
        <v>1</v>
      </c>
      <c r="I10" s="9">
        <v>0</v>
      </c>
      <c r="J10" s="9">
        <v>0</v>
      </c>
      <c r="K10" s="9">
        <v>0</v>
      </c>
      <c r="L10" s="9">
        <v>96</v>
      </c>
      <c r="M10" s="9">
        <v>2.3E-2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7</v>
      </c>
      <c r="T10" s="9">
        <v>5</v>
      </c>
      <c r="U10" s="9">
        <v>2</v>
      </c>
      <c r="V10" s="6">
        <v>7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4</v>
      </c>
      <c r="AE10" s="9">
        <v>0</v>
      </c>
      <c r="AF10" s="9">
        <v>0</v>
      </c>
      <c r="AG10" s="9">
        <v>3</v>
      </c>
      <c r="AH10" s="9">
        <v>0</v>
      </c>
      <c r="AI10" s="9" t="s">
        <v>127</v>
      </c>
      <c r="AL10" s="9" t="s">
        <v>129</v>
      </c>
      <c r="AM10" s="9">
        <v>18.72</v>
      </c>
      <c r="AN10" s="9"/>
      <c r="AO10" s="9"/>
      <c r="AR10" s="39" t="s">
        <v>99</v>
      </c>
      <c r="AS10" s="34" t="s">
        <v>116</v>
      </c>
      <c r="AT10" s="27"/>
      <c r="AU10" s="27"/>
      <c r="AV10" s="27"/>
      <c r="AW10" s="27"/>
      <c r="AX10" s="27"/>
      <c r="AY10" s="27"/>
      <c r="AZ10" s="27"/>
    </row>
    <row r="11" spans="1:52" x14ac:dyDescent="0.25">
      <c r="A11" s="12" t="s">
        <v>51</v>
      </c>
      <c r="B11" s="9"/>
      <c r="C11" s="9">
        <v>17.16</v>
      </c>
      <c r="D11" s="9">
        <v>30</v>
      </c>
      <c r="E11" s="15"/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96</v>
      </c>
      <c r="M11" s="9">
        <v>2.3E-2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17">
        <v>0</v>
      </c>
      <c r="T11" s="9">
        <v>0</v>
      </c>
      <c r="U11" s="9">
        <v>7</v>
      </c>
      <c r="V11" s="15"/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2</v>
      </c>
      <c r="AH11" s="9">
        <v>3</v>
      </c>
      <c r="AI11" s="15"/>
      <c r="AJ11" s="15"/>
      <c r="AK11" s="15"/>
      <c r="AL11" s="15"/>
      <c r="AM11" s="15"/>
      <c r="AN11" s="9"/>
      <c r="AO11" s="9"/>
      <c r="AR11" s="34" t="s">
        <v>3</v>
      </c>
      <c r="AS11" s="34" t="s">
        <v>117</v>
      </c>
      <c r="AT11" s="40">
        <v>17.149999999999999</v>
      </c>
      <c r="AU11" s="40">
        <v>17.16</v>
      </c>
      <c r="AV11" s="40">
        <v>17.14</v>
      </c>
      <c r="AW11" s="40">
        <v>17.149999999999999</v>
      </c>
      <c r="AX11" s="41">
        <v>17.170000000000002</v>
      </c>
      <c r="AY11" s="42">
        <v>17.16</v>
      </c>
      <c r="AZ11" s="40">
        <v>17.12</v>
      </c>
    </row>
    <row r="12" spans="1:52" x14ac:dyDescent="0.25">
      <c r="A12" s="12" t="s">
        <v>52</v>
      </c>
      <c r="B12" s="9"/>
      <c r="C12" s="10">
        <v>17.12</v>
      </c>
      <c r="D12" s="9">
        <v>44</v>
      </c>
      <c r="E12" s="15"/>
      <c r="F12" s="9">
        <v>40</v>
      </c>
      <c r="G12" s="9">
        <v>3</v>
      </c>
      <c r="H12" s="9">
        <v>3</v>
      </c>
      <c r="I12" s="9">
        <v>0</v>
      </c>
      <c r="J12" s="9">
        <v>0</v>
      </c>
      <c r="K12" s="9">
        <v>0</v>
      </c>
      <c r="L12" s="9">
        <v>96</v>
      </c>
      <c r="M12" s="9">
        <v>2.3E-2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17">
        <v>0</v>
      </c>
      <c r="T12" s="9">
        <v>0</v>
      </c>
      <c r="U12" s="9">
        <v>9</v>
      </c>
      <c r="V12" s="15"/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86</v>
      </c>
      <c r="AF12" s="9">
        <v>3.5</v>
      </c>
      <c r="AG12" s="9">
        <v>3</v>
      </c>
      <c r="AH12" s="9">
        <v>0</v>
      </c>
      <c r="AI12" s="15"/>
      <c r="AJ12" s="15"/>
      <c r="AK12" s="15"/>
      <c r="AL12" s="15"/>
      <c r="AM12" s="15"/>
      <c r="AN12" s="9"/>
      <c r="AO12" s="9"/>
      <c r="AR12" s="34" t="s">
        <v>100</v>
      </c>
      <c r="AS12" s="34" t="s">
        <v>117</v>
      </c>
      <c r="AT12" s="42">
        <v>407</v>
      </c>
      <c r="AU12" s="42">
        <v>41</v>
      </c>
      <c r="AV12" s="42">
        <v>54</v>
      </c>
      <c r="AW12" s="42">
        <v>50</v>
      </c>
      <c r="AX12" s="42">
        <v>218</v>
      </c>
      <c r="AY12" s="42">
        <f>BH15-BH16</f>
        <v>0</v>
      </c>
      <c r="AZ12" s="42">
        <f>BI15-BI16</f>
        <v>0</v>
      </c>
    </row>
    <row r="13" spans="1:52" x14ac:dyDescent="0.25">
      <c r="AR13" s="34" t="s">
        <v>101</v>
      </c>
      <c r="AS13" s="34" t="s">
        <v>117</v>
      </c>
      <c r="AT13" s="42"/>
      <c r="AU13" s="42"/>
      <c r="AV13" s="42"/>
      <c r="AW13" s="42"/>
      <c r="AX13" s="42"/>
      <c r="AY13" s="42"/>
      <c r="AZ13" s="42"/>
    </row>
    <row r="14" spans="1:52" x14ac:dyDescent="0.25">
      <c r="AR14" s="4"/>
      <c r="AT14" s="9"/>
      <c r="AU14" s="9"/>
      <c r="AV14" s="9"/>
      <c r="AW14" s="9"/>
      <c r="AX14" s="9"/>
      <c r="AY14" s="9"/>
      <c r="AZ14" s="9"/>
    </row>
    <row r="15" spans="1:52" x14ac:dyDescent="0.25">
      <c r="AR15" s="37" t="s">
        <v>102</v>
      </c>
      <c r="AS15" s="34" t="s">
        <v>116</v>
      </c>
      <c r="AT15" s="42"/>
      <c r="AU15" s="42"/>
      <c r="AV15" s="42"/>
      <c r="AW15" s="42"/>
      <c r="AX15" s="26"/>
      <c r="AY15" s="42"/>
      <c r="AZ15" s="42"/>
    </row>
    <row r="16" spans="1:52" x14ac:dyDescent="0.25">
      <c r="AR16" s="34" t="s">
        <v>103</v>
      </c>
      <c r="AS16" s="34" t="s">
        <v>117</v>
      </c>
      <c r="AT16" s="44">
        <v>1</v>
      </c>
      <c r="AU16" s="44">
        <v>1</v>
      </c>
      <c r="AV16" s="45">
        <v>0.96</v>
      </c>
      <c r="AW16" s="48"/>
      <c r="AX16" s="48"/>
      <c r="AY16" s="48"/>
      <c r="AZ16" s="48"/>
    </row>
    <row r="17" spans="1:52" s="20" customFormat="1" x14ac:dyDescent="0.25">
      <c r="A17" s="22"/>
      <c r="AR17" s="38" t="s">
        <v>104</v>
      </c>
      <c r="AS17" s="24" t="s">
        <v>117</v>
      </c>
      <c r="AT17" s="26">
        <v>5</v>
      </c>
      <c r="AU17" s="26"/>
      <c r="AV17" s="26">
        <v>5</v>
      </c>
      <c r="AW17" s="26">
        <v>4</v>
      </c>
      <c r="AX17" s="26">
        <v>3</v>
      </c>
      <c r="AY17" s="26">
        <v>2</v>
      </c>
      <c r="AZ17" s="26">
        <v>3</v>
      </c>
    </row>
    <row r="18" spans="1:52" s="20" customFormat="1" x14ac:dyDescent="0.25">
      <c r="A18" s="22"/>
      <c r="AR18" s="24" t="s">
        <v>105</v>
      </c>
      <c r="AS18" s="24" t="s">
        <v>117</v>
      </c>
      <c r="AT18" s="30">
        <v>0.4</v>
      </c>
      <c r="AU18" s="30">
        <v>0</v>
      </c>
      <c r="AV18" s="31">
        <v>2.2000000000000002</v>
      </c>
      <c r="AW18" s="31">
        <v>1.4</v>
      </c>
      <c r="AX18" s="31">
        <v>1</v>
      </c>
      <c r="AY18" s="30">
        <v>0</v>
      </c>
      <c r="AZ18" s="31">
        <v>3</v>
      </c>
    </row>
    <row r="19" spans="1:52" s="20" customFormat="1" x14ac:dyDescent="0.25">
      <c r="A19" s="22"/>
      <c r="AR19" s="24" t="s">
        <v>106</v>
      </c>
      <c r="AS19" s="24" t="s">
        <v>117</v>
      </c>
      <c r="AT19" s="30">
        <v>0</v>
      </c>
      <c r="AU19" s="30">
        <v>0</v>
      </c>
      <c r="AV19" s="47">
        <v>0.2</v>
      </c>
      <c r="AW19" s="47">
        <v>0.2</v>
      </c>
      <c r="AX19" s="30">
        <v>0</v>
      </c>
      <c r="AY19" s="30">
        <v>0</v>
      </c>
      <c r="AZ19" s="30">
        <v>0</v>
      </c>
    </row>
    <row r="20" spans="1:52" x14ac:dyDescent="0.25">
      <c r="AS20" t="s">
        <v>118</v>
      </c>
    </row>
    <row r="21" spans="1:52" x14ac:dyDescent="0.25">
      <c r="AR21" s="23" t="s">
        <v>107</v>
      </c>
      <c r="AS21" s="24" t="s">
        <v>116</v>
      </c>
      <c r="AT21" s="26"/>
      <c r="AU21" s="26"/>
      <c r="AV21" s="42"/>
      <c r="AW21" s="42"/>
      <c r="AX21" s="26"/>
      <c r="AY21" s="26"/>
      <c r="AZ21" s="26"/>
    </row>
    <row r="22" spans="1:52" x14ac:dyDescent="0.25">
      <c r="AR22" s="24" t="s">
        <v>108</v>
      </c>
      <c r="AS22" s="24" t="s">
        <v>117</v>
      </c>
      <c r="AT22" s="26"/>
      <c r="AU22" s="26"/>
      <c r="AV22" s="31">
        <v>48.2</v>
      </c>
      <c r="AW22" s="31">
        <v>48.2</v>
      </c>
      <c r="AX22" s="26">
        <v>18.72</v>
      </c>
      <c r="AY22" s="26"/>
      <c r="AZ22" s="26"/>
    </row>
    <row r="23" spans="1:52" x14ac:dyDescent="0.25">
      <c r="AR23" s="24" t="s">
        <v>109</v>
      </c>
      <c r="AS23" s="24" t="s">
        <v>117</v>
      </c>
      <c r="AT23" s="44">
        <v>1</v>
      </c>
      <c r="AU23" s="44">
        <v>1</v>
      </c>
      <c r="AV23" s="45">
        <v>0.75</v>
      </c>
      <c r="AW23" s="46">
        <v>0</v>
      </c>
      <c r="AX23" s="45">
        <v>0.71</v>
      </c>
      <c r="AY23" s="46">
        <v>0</v>
      </c>
      <c r="AZ23" s="46">
        <v>0</v>
      </c>
    </row>
    <row r="24" spans="1:52" x14ac:dyDescent="0.25">
      <c r="AR24" s="24" t="s">
        <v>110</v>
      </c>
      <c r="AS24" s="24" t="s">
        <v>117</v>
      </c>
      <c r="AT24" s="26"/>
      <c r="AU24" s="26"/>
      <c r="AV24" s="30">
        <v>6</v>
      </c>
      <c r="AW24" s="30">
        <v>5</v>
      </c>
      <c r="AX24" s="26">
        <v>1</v>
      </c>
      <c r="AY24" s="26"/>
      <c r="AZ24" s="26"/>
    </row>
    <row r="25" spans="1:52" x14ac:dyDescent="0.25">
      <c r="AR25" s="24" t="s">
        <v>111</v>
      </c>
      <c r="AS25" s="24" t="s">
        <v>117</v>
      </c>
      <c r="AT25" s="30">
        <v>0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</row>
    <row r="26" spans="1:52" x14ac:dyDescent="0.25">
      <c r="AR26" s="24" t="s">
        <v>112</v>
      </c>
      <c r="AS26" s="24" t="s">
        <v>117</v>
      </c>
      <c r="AT26" s="26">
        <v>4</v>
      </c>
      <c r="AU26" s="26">
        <v>0</v>
      </c>
      <c r="AV26" s="26">
        <v>0</v>
      </c>
      <c r="AW26" s="26">
        <v>0</v>
      </c>
      <c r="AX26" s="26">
        <v>4</v>
      </c>
      <c r="AY26" s="26">
        <v>0</v>
      </c>
      <c r="AZ26" s="26">
        <v>0</v>
      </c>
    </row>
    <row r="27" spans="1:52" x14ac:dyDescent="0.25">
      <c r="AR27" s="24" t="s">
        <v>113</v>
      </c>
      <c r="AS27" s="24" t="s">
        <v>117</v>
      </c>
      <c r="AT27" s="30">
        <v>93</v>
      </c>
      <c r="AU27" s="26">
        <v>0</v>
      </c>
      <c r="AV27" s="30">
        <v>72</v>
      </c>
      <c r="AW27" s="26">
        <v>0</v>
      </c>
      <c r="AX27" s="26">
        <v>0</v>
      </c>
      <c r="AY27" s="26">
        <v>0</v>
      </c>
      <c r="AZ27" s="30">
        <v>86</v>
      </c>
    </row>
    <row r="28" spans="1:52" x14ac:dyDescent="0.25">
      <c r="AR28" s="24" t="s">
        <v>114</v>
      </c>
      <c r="AS28" s="24" t="s">
        <v>117</v>
      </c>
      <c r="AT28" s="31">
        <v>6</v>
      </c>
      <c r="AU28" s="31">
        <v>0</v>
      </c>
      <c r="AV28" s="31">
        <v>4</v>
      </c>
      <c r="AW28" s="31">
        <v>0</v>
      </c>
      <c r="AX28" s="31">
        <v>0</v>
      </c>
      <c r="AY28" s="31">
        <v>0</v>
      </c>
      <c r="AZ28" s="31">
        <v>3.5</v>
      </c>
    </row>
    <row r="29" spans="1:52" x14ac:dyDescent="0.25">
      <c r="AR29" s="19"/>
      <c r="AS29" s="19"/>
      <c r="AT29" s="20"/>
      <c r="AU29" s="20"/>
      <c r="AV29" s="20"/>
      <c r="AW29" s="20"/>
      <c r="AX29" s="20"/>
      <c r="AY29" s="20"/>
      <c r="AZ29" s="20"/>
    </row>
    <row r="30" spans="1:52" x14ac:dyDescent="0.25">
      <c r="AR30" s="23" t="s">
        <v>115</v>
      </c>
      <c r="AS30" s="24" t="s">
        <v>116</v>
      </c>
      <c r="AT30" s="29"/>
      <c r="AU30" s="29"/>
      <c r="AV30" s="28"/>
      <c r="AW30" s="29"/>
      <c r="AX30" s="29"/>
      <c r="AY30" s="28"/>
      <c r="AZ30" s="29"/>
    </row>
    <row r="31" spans="1:52" x14ac:dyDescent="0.25">
      <c r="AR31" s="32" t="s">
        <v>93</v>
      </c>
      <c r="AS31" s="24" t="s">
        <v>117</v>
      </c>
      <c r="AT31" s="26">
        <v>0</v>
      </c>
      <c r="AU31" s="25">
        <v>0</v>
      </c>
      <c r="AV31" s="25">
        <v>2</v>
      </c>
      <c r="AW31" s="25"/>
      <c r="AX31" s="26">
        <v>0</v>
      </c>
      <c r="AY31" s="26">
        <v>3</v>
      </c>
      <c r="AZ31" s="26">
        <v>0</v>
      </c>
    </row>
    <row r="32" spans="1:52" x14ac:dyDescent="0.25">
      <c r="AR32" s="33" t="s">
        <v>87</v>
      </c>
      <c r="AS32" s="34" t="s">
        <v>117</v>
      </c>
      <c r="AT32" s="27"/>
      <c r="AU32" s="27"/>
      <c r="AV32" s="27" t="s">
        <v>124</v>
      </c>
      <c r="AW32" s="27" t="s">
        <v>127</v>
      </c>
      <c r="AX32" s="27" t="s">
        <v>127</v>
      </c>
      <c r="AY32" s="27"/>
      <c r="AZ32" s="27"/>
    </row>
    <row r="33" spans="44:52" ht="30" x14ac:dyDescent="0.25">
      <c r="AR33" s="35" t="s">
        <v>89</v>
      </c>
      <c r="AS33" s="34" t="s">
        <v>117</v>
      </c>
      <c r="AT33" s="27"/>
      <c r="AU33" s="27"/>
      <c r="AV33" s="27"/>
      <c r="AW33" s="27"/>
      <c r="AX33" s="27"/>
      <c r="AY33" s="27"/>
      <c r="AZ33" s="27"/>
    </row>
    <row r="34" spans="44:52" ht="30" x14ac:dyDescent="0.25">
      <c r="AR34" s="36" t="s">
        <v>90</v>
      </c>
      <c r="AS34" s="34" t="s">
        <v>117</v>
      </c>
      <c r="AT34" s="27"/>
      <c r="AU34" s="27"/>
      <c r="AV34" s="27"/>
      <c r="AW34" s="27"/>
      <c r="AX34" s="27"/>
      <c r="AY34" s="27"/>
      <c r="AZ34" s="27"/>
    </row>
    <row r="37" spans="44:52" x14ac:dyDescent="0.25">
      <c r="AR37" s="14" t="s">
        <v>57</v>
      </c>
      <c r="AS37" t="s">
        <v>116</v>
      </c>
      <c r="AT37" s="21"/>
      <c r="AU37" s="21"/>
      <c r="AV37" s="21"/>
      <c r="AW37" s="21"/>
      <c r="AX37" s="21"/>
      <c r="AY37" s="21"/>
      <c r="AZ37" s="21"/>
    </row>
    <row r="38" spans="44:52" x14ac:dyDescent="0.25">
      <c r="AR38" s="4" t="s">
        <v>58</v>
      </c>
      <c r="AS38" t="s">
        <v>117</v>
      </c>
    </row>
    <row r="39" spans="44:52" x14ac:dyDescent="0.25">
      <c r="AR39" s="4" t="s">
        <v>59</v>
      </c>
      <c r="AS39" t="s">
        <v>117</v>
      </c>
    </row>
    <row r="40" spans="44:52" x14ac:dyDescent="0.25">
      <c r="AR40" s="4" t="s">
        <v>60</v>
      </c>
      <c r="AS40" t="s">
        <v>117</v>
      </c>
    </row>
    <row r="41" spans="44:52" x14ac:dyDescent="0.25">
      <c r="AR41" s="4" t="s">
        <v>61</v>
      </c>
      <c r="AS41" t="s">
        <v>117</v>
      </c>
    </row>
    <row r="42" spans="44:52" x14ac:dyDescent="0.25">
      <c r="AR42" s="4" t="s">
        <v>62</v>
      </c>
      <c r="AS42" t="s">
        <v>117</v>
      </c>
    </row>
    <row r="43" spans="44:52" x14ac:dyDescent="0.25">
      <c r="AR43" s="4" t="s">
        <v>63</v>
      </c>
      <c r="AS43" t="s">
        <v>117</v>
      </c>
    </row>
    <row r="44" spans="44:52" x14ac:dyDescent="0.25">
      <c r="AR44" s="4" t="s">
        <v>64</v>
      </c>
      <c r="AS44" t="s">
        <v>117</v>
      </c>
    </row>
  </sheetData>
  <mergeCells count="3">
    <mergeCell ref="L2:R2"/>
    <mergeCell ref="W2:Z2"/>
    <mergeCell ref="AA2:AD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A10" sqref="A10"/>
    </sheetView>
  </sheetViews>
  <sheetFormatPr defaultRowHeight="15" x14ac:dyDescent="0.25"/>
  <cols>
    <col min="1" max="1" width="53.140625" bestFit="1" customWidth="1"/>
    <col min="2" max="2" width="17.42578125" bestFit="1" customWidth="1"/>
    <col min="3" max="3" width="15.140625" bestFit="1" customWidth="1"/>
    <col min="5" max="5" width="24.140625" bestFit="1" customWidth="1"/>
  </cols>
  <sheetData>
    <row r="1" spans="1:3" x14ac:dyDescent="0.25">
      <c r="A1" s="5" t="s">
        <v>12</v>
      </c>
    </row>
    <row r="2" spans="1:3" x14ac:dyDescent="0.25">
      <c r="A2" s="2" t="s">
        <v>37</v>
      </c>
      <c r="B2" s="2" t="s">
        <v>38</v>
      </c>
      <c r="C2" s="2" t="s">
        <v>41</v>
      </c>
    </row>
    <row r="3" spans="1:3" x14ac:dyDescent="0.25">
      <c r="A3" t="s">
        <v>13</v>
      </c>
      <c r="B3" t="s">
        <v>40</v>
      </c>
      <c r="C3" t="s">
        <v>43</v>
      </c>
    </row>
    <row r="4" spans="1:3" x14ac:dyDescent="0.25">
      <c r="A4" t="s">
        <v>0</v>
      </c>
      <c r="B4" t="s">
        <v>40</v>
      </c>
      <c r="C4" t="s">
        <v>43</v>
      </c>
    </row>
    <row r="6" spans="1:3" x14ac:dyDescent="0.25">
      <c r="A6" s="5" t="s">
        <v>14</v>
      </c>
    </row>
    <row r="7" spans="1:3" x14ac:dyDescent="0.25">
      <c r="A7" s="2" t="s">
        <v>37</v>
      </c>
      <c r="B7" s="2" t="s">
        <v>38</v>
      </c>
      <c r="C7" s="2" t="s">
        <v>41</v>
      </c>
    </row>
    <row r="8" spans="1:3" x14ac:dyDescent="0.25">
      <c r="A8" t="s">
        <v>13</v>
      </c>
      <c r="B8" t="s">
        <v>39</v>
      </c>
    </row>
    <row r="9" spans="1:3" x14ac:dyDescent="0.25">
      <c r="A9" t="s">
        <v>24</v>
      </c>
      <c r="B9" t="s">
        <v>40</v>
      </c>
      <c r="C9" t="s">
        <v>43</v>
      </c>
    </row>
    <row r="10" spans="1:3" x14ac:dyDescent="0.25">
      <c r="A10" t="s">
        <v>1</v>
      </c>
      <c r="B10" t="s">
        <v>40</v>
      </c>
      <c r="C10" t="s">
        <v>42</v>
      </c>
    </row>
    <row r="11" spans="1:3" x14ac:dyDescent="0.25">
      <c r="A11" t="s">
        <v>0</v>
      </c>
      <c r="B11" t="s">
        <v>40</v>
      </c>
      <c r="C11" t="s">
        <v>43</v>
      </c>
    </row>
    <row r="12" spans="1:3" x14ac:dyDescent="0.25">
      <c r="A12" t="s">
        <v>23</v>
      </c>
      <c r="B12" t="s">
        <v>40</v>
      </c>
      <c r="C12" t="s">
        <v>43</v>
      </c>
    </row>
    <row r="14" spans="1:3" x14ac:dyDescent="0.25">
      <c r="A14" s="5" t="s">
        <v>36</v>
      </c>
    </row>
    <row r="15" spans="1:3" x14ac:dyDescent="0.25">
      <c r="A15" s="2" t="s">
        <v>37</v>
      </c>
      <c r="B15" s="2" t="s">
        <v>38</v>
      </c>
      <c r="C15" s="2" t="s">
        <v>41</v>
      </c>
    </row>
    <row r="16" spans="1:3" x14ac:dyDescent="0.25">
      <c r="A16" t="s">
        <v>34</v>
      </c>
      <c r="B16" t="s">
        <v>39</v>
      </c>
    </row>
    <row r="17" spans="1:3" x14ac:dyDescent="0.25">
      <c r="A17" t="s">
        <v>18</v>
      </c>
      <c r="B17" t="s">
        <v>39</v>
      </c>
    </row>
    <row r="18" spans="1:3" x14ac:dyDescent="0.25">
      <c r="A18" t="s">
        <v>35</v>
      </c>
      <c r="B18" t="s">
        <v>40</v>
      </c>
      <c r="C18" t="s">
        <v>42</v>
      </c>
    </row>
    <row r="20" spans="1:3" x14ac:dyDescent="0.25">
      <c r="A20" s="5" t="s">
        <v>17</v>
      </c>
    </row>
    <row r="21" spans="1:3" x14ac:dyDescent="0.25">
      <c r="A21" s="2" t="s">
        <v>37</v>
      </c>
      <c r="B21" s="2" t="s">
        <v>38</v>
      </c>
      <c r="C21" s="2" t="s">
        <v>41</v>
      </c>
    </row>
    <row r="22" spans="1:3" x14ac:dyDescent="0.25">
      <c r="A22" t="s">
        <v>18</v>
      </c>
      <c r="B22" t="s">
        <v>40</v>
      </c>
      <c r="C22" t="s">
        <v>43</v>
      </c>
    </row>
    <row r="23" spans="1:3" x14ac:dyDescent="0.25">
      <c r="A23" t="s">
        <v>92</v>
      </c>
      <c r="B23" t="s">
        <v>40</v>
      </c>
      <c r="C23" t="s">
        <v>45</v>
      </c>
    </row>
    <row r="24" spans="1:3" x14ac:dyDescent="0.25">
      <c r="A24" t="s">
        <v>44</v>
      </c>
      <c r="B24" t="s">
        <v>40</v>
      </c>
      <c r="C24" t="s">
        <v>42</v>
      </c>
    </row>
    <row r="26" spans="1:3" x14ac:dyDescent="0.25">
      <c r="A26" s="5" t="s">
        <v>19</v>
      </c>
    </row>
    <row r="27" spans="1:3" x14ac:dyDescent="0.25">
      <c r="A27" s="2" t="s">
        <v>37</v>
      </c>
      <c r="B27" s="2" t="s">
        <v>38</v>
      </c>
      <c r="C27" s="2" t="s">
        <v>41</v>
      </c>
    </row>
    <row r="28" spans="1:3" x14ac:dyDescent="0.25">
      <c r="A28" t="s">
        <v>20</v>
      </c>
      <c r="B28" t="s">
        <v>40</v>
      </c>
      <c r="C28" t="s">
        <v>43</v>
      </c>
    </row>
    <row r="29" spans="1:3" x14ac:dyDescent="0.25">
      <c r="A29" t="s">
        <v>21</v>
      </c>
      <c r="B29" t="s">
        <v>40</v>
      </c>
      <c r="C29" t="s">
        <v>45</v>
      </c>
    </row>
    <row r="30" spans="1:3" x14ac:dyDescent="0.25">
      <c r="A30" t="s">
        <v>22</v>
      </c>
      <c r="B30" t="s">
        <v>40</v>
      </c>
      <c r="C30" t="s">
        <v>45</v>
      </c>
    </row>
    <row r="32" spans="1:3" x14ac:dyDescent="0.25">
      <c r="A32" t="s">
        <v>15</v>
      </c>
    </row>
    <row r="33" spans="1:1" x14ac:dyDescent="0.25">
      <c r="A33" t="s">
        <v>5</v>
      </c>
    </row>
    <row r="34" spans="1:1" x14ac:dyDescent="0.25">
      <c r="A3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 Format-Input Data</vt:lpstr>
      <vt:lpstr>Master Data Configuration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Mishra</dc:creator>
  <cp:lastModifiedBy>Ravi Bl06</cp:lastModifiedBy>
  <dcterms:created xsi:type="dcterms:W3CDTF">2017-05-24T12:42:42Z</dcterms:created>
  <dcterms:modified xsi:type="dcterms:W3CDTF">2017-06-05T13:41:28Z</dcterms:modified>
</cp:coreProperties>
</file>